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 Porcionamiento" sheetId="1" state="visible" r:id="rId3"/>
    <sheet name="Estándares de Pérdi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<sst xmlns="http://schemas.openxmlformats.org/spreadsheetml/2006/main" count="58" uniqueCount="57">
  <si>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ANÁLISIS DE PORCIONAMIENTOS DIARIOS · GRUPO LA INDEPENDIENTE</t>
  </si>
  <si>
    <t xml:space="preserve">Consolidado de rendimiento, mermas, pérdidas y valorización por proteína porcionada</t>
  </si>
  <si>
    <t xml:space="preserve">Fecha</t>
  </si>
  <si>
    <t xml:space="preserve">Folio #</t>
  </si>
  <si>
    <t xml:space="preserve">Producto a Porcionar</t>
  </si>
  <si>
    <t xml:space="preserve">Proveedor</t>
  </si>
  <si>
    <t xml:space="preserve"># De Factura</t>
  </si>
  <si>
    <t xml:space="preserve">Precio Compra ($/kl)</t>
  </si>
  <si>
    <t xml:space="preserve">Cantidad Inicial (gr)</t>
  </si>
  <si>
    <t xml:space="preserve">Cantidad Final (gr)</t>
  </si>
  <si>
    <t xml:space="preserve">Pérdida (gr)</t>
  </si>
  <si>
    <t xml:space="preserve">% Rendimiento</t>
  </si>
  <si>
    <t xml:space="preserve">% Pérdida</t>
  </si>
  <si>
    <t xml:space="preserve">Valor Factura ($)</t>
  </si>
  <si>
    <t xml:space="preserve">Costo x Gramo ($)</t>
  </si>
  <si>
    <t xml:space="preserve">Subtotal Productivo ($)</t>
  </si>
  <si>
    <t xml:space="preserve">Costo Pérdida ($)</t>
  </si>
  <si>
    <t xml:space="preserve">Hora Inicio</t>
  </si>
  <si>
    <t xml:space="preserve">Hora Final</t>
  </si>
  <si>
    <t xml:space="preserve">Duración</t>
  </si>
  <si>
    <t xml:space="preserve"># Operaciones</t>
  </si>
  <si>
    <t xml:space="preserve">2026-10-01</t>
  </si>
  <si>
    <t xml:space="preserve">8129-30-31</t>
  </si>
  <si>
    <t xml:space="preserve">LOMO FINO</t>
  </si>
  <si>
    <t xml:space="preserve">LA PARISIENNE</t>
  </si>
  <si>
    <t xml:space="preserve">15:01</t>
  </si>
  <si>
    <t xml:space="preserve">16:01</t>
  </si>
  <si>
    <t xml:space="preserve">1h 00m</t>
  </si>
  <si>
    <t xml:space="preserve">TOTALES / PROMEDIO</t>
  </si>
  <si>
    <t xml:space="preserve">INSTRUCCIONES:</t>
  </si>
  <si>
    <t xml:space="preserve">• Celdas en AZUL = editables. Llena: Fecha, Folio, Producto, Proveedor, Factura, Precio Compra, Cantidad Inicial y Cantidad Final (en gramos), y las horas.</t>
  </si>
  <si>
    <t xml:space="preserve">• Columnas en NEGRO se calculan solas con fórmulas — no las edites.</t>
  </si>
  <si>
    <t xml:space="preserve">• Cantidad Inicial (gr) = kilos comprados × 1000.  Cantidad Final (gr) = suma de todos los gramos porcionados útiles.</t>
  </si>
  <si>
    <t xml:space="preserve">• % Rendimiento = Cantidad Final ÷ Cantidad Inicial.   % Pérdida = Pérdida ÷ Cantidad Inicial.</t>
  </si>
  <si>
    <t xml:space="preserve">• Valor Factura = Precio Compra × (Cantidad Inicial ÷ 1000).   Costo x Gramo = Valor Factura ÷ Cantidad Final útil.</t>
  </si>
  <si>
    <t xml:space="preserve">• Subtotal Productivo ($) = Cantidad Final × Costo x Gramo (valor absorbido por lo aprovechable).</t>
  </si>
  <si>
    <t xml:space="preserve">• Costo Pérdida ($) = Pérdida (gr) × Costo x Gramo → CUÁNTO CUESTA EN PESOS LO QUE SE PIERDE.</t>
  </si>
  <si>
    <t xml:space="preserve">• La fila 5 es un EJEMPLO — reemplázala o bórrala al empezar.</t>
  </si>
  <si>
    <t xml:space="preserve">NIVELES ACEPTABLES DE PÉRDIDA EN PORCIONAMIENTO</t>
  </si>
  <si>
    <t xml:space="preserve">Producto</t>
  </si>
  <si>
    <t xml:space="preserve">Desperdicio %</t>
  </si>
  <si>
    <t xml:space="preserve">Merma %</t>
  </si>
  <si>
    <t xml:space="preserve">No Identificada %</t>
  </si>
  <si>
    <t xml:space="preserve">Rendimiento Mín %</t>
  </si>
  <si>
    <t xml:space="preserve">CHICHARRON TOCINO</t>
  </si>
  <si>
    <t xml:space="preserve">CAMARON</t>
  </si>
  <si>
    <t xml:space="preserve">LOMO ANCHO</t>
  </si>
  <si>
    <t xml:space="preserve">LOMO DE ATUN</t>
  </si>
  <si>
    <t xml:space="preserve">NEW YORK - CERTIFIED ANGUS BEEF</t>
  </si>
  <si>
    <t xml:space="preserve">PECHUGA DESHUESADA SIN PIEL</t>
  </si>
  <si>
    <t xml:space="preserve">PICANHA CERTIFIED</t>
  </si>
  <si>
    <t xml:space="preserve">PULPO MEXICANO</t>
  </si>
  <si>
    <t xml:space="preserve">ROBALO</t>
  </si>
  <si>
    <t xml:space="preserve">RYBEYE - CERTIFIED ANGUS BEEF</t>
  </si>
  <si>
    <t xml:space="preserve">SALMON</t>
  </si>
  <si>
    <t xml:space="preserve">TILAPIA NACIONAL</t>
  </si>
  <si>
    <t xml:space="preserve">Fuente: niveles aceptables de pérdida (referencia base). Ajustar con los estándares del grupo.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</si>
</sst>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\$#,##0.0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B01B2E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01B2E"/>
        <bgColor rgb="FF993366"/>
      </patternFill>
    </fill>
    <fill>
      <patternFill patternType="solid">
        <fgColor rgb="FF7D1220"/>
        <bgColor rgb="FF8000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D12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01B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3" min="12" style="0" width="15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8" min="16" style="0" width="11"/>
    <col collapsed="false" customWidth="true" hidden="false" outlineLevel="0" max="19" min="19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4" t="n">
        <v>3986</v>
      </c>
      <c r="F5" s="5" t="n">
        <v>66000</v>
      </c>
      <c r="G5" s="6" t="n">
        <v>39600</v>
      </c>
      <c r="H5" s="6" t="n">
        <v>39206</v>
      </c>
      <c r="I5" s="7" t="n">
        <f aca="false">G5-H5</f>
        <v>394</v>
      </c>
      <c r="J5" s="8" t="n">
        <f aca="false">IFERROR(H5/G5,0)</f>
        <v>0.990050505050505</v>
      </c>
      <c r="K5" s="8" t="n">
        <f aca="false">IFERROR(I5/G5,0)</f>
        <v>0.00994949494949495</v>
      </c>
      <c r="L5" s="9" t="n">
        <f aca="false">F5*G5/1000</f>
        <v>2613600</v>
      </c>
      <c r="M5" s="10" t="n">
        <f aca="false">IFERROR(L5/H5,0)</f>
        <v>66.6632658266592</v>
      </c>
      <c r="N5" s="9" t="n">
        <f aca="false">H5*M5</f>
        <v>2613600</v>
      </c>
      <c r="O5" s="9" t="n">
        <f aca="false">I5*M5</f>
        <v>26265.3267357037</v>
      </c>
      <c r="P5" s="4" t="s">
        <v>25</v>
      </c>
      <c r="Q5" s="4" t="s">
        <v>26</v>
      </c>
      <c r="R5" s="11" t="s">
        <v>27</v>
      </c>
      <c r="S5" s="4" t="n">
        <v>3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5"/>
      <c r="G6" s="6"/>
      <c r="H6" s="6"/>
      <c r="I6" s="7" t="str">
        <f aca="false">IF(AND(G6&lt;&gt;"",H6&lt;&gt;""),G6-H6,"")</f>
        <v/>
      </c>
      <c r="J6" s="8" t="str">
        <f aca="false">IFERROR(H6/G6,"")</f>
        <v/>
      </c>
      <c r="K6" s="8" t="str">
        <f aca="false">IFERROR(I6/G6,"")</f>
        <v/>
      </c>
      <c r="L6" s="9" t="str">
        <f aca="false">IF(AND(F6&lt;&gt;"",G6&lt;&gt;""),F6*G6/1000,"")</f>
        <v/>
      </c>
      <c r="M6" s="10" t="str">
        <f aca="false">IFERROR(L6/H6,"")</f>
        <v/>
      </c>
      <c r="N6" s="9" t="str">
        <f aca="false">IF(M6&lt;&gt;"",H6*M6,"")</f>
        <v/>
      </c>
      <c r="O6" s="9" t="str">
        <f aca="false">IF(M6&lt;&gt;"",I6*M6,"")</f>
        <v/>
      </c>
      <c r="P6" s="4"/>
      <c r="Q6" s="4"/>
      <c r="R6" s="4"/>
      <c r="S6" s="4"/>
    </row>
    <row r="7" customFormat="false" ht="15" hidden="false" customHeight="false" outlineLevel="0" collapsed="false">
      <c r="A7" s="4"/>
      <c r="B7" s="4"/>
      <c r="C7" s="4"/>
      <c r="D7" s="4"/>
      <c r="E7" s="4"/>
      <c r="F7" s="5"/>
      <c r="G7" s="6"/>
      <c r="H7" s="6"/>
      <c r="I7" s="7" t="str">
        <f aca="false">IF(AND(G7&lt;&gt;"",H7&lt;&gt;""),G7-H7,"")</f>
        <v/>
      </c>
      <c r="J7" s="8" t="str">
        <f aca="false">IFERROR(H7/G7,"")</f>
        <v/>
      </c>
      <c r="K7" s="8" t="str">
        <f aca="false">IFERROR(I7/G7,"")</f>
        <v/>
      </c>
      <c r="L7" s="9" t="str">
        <f aca="false">IF(AND(F7&lt;&gt;"",G7&lt;&gt;""),F7*G7/1000,"")</f>
        <v/>
      </c>
      <c r="M7" s="10" t="str">
        <f aca="false">IFERROR(L7/H7,"")</f>
        <v/>
      </c>
      <c r="N7" s="9" t="str">
        <f aca="false">IF(M7&lt;&gt;"",H7*M7,"")</f>
        <v/>
      </c>
      <c r="O7" s="9" t="str">
        <f aca="false">IF(M7&lt;&gt;"",I7*M7,"")</f>
        <v/>
      </c>
      <c r="P7" s="4"/>
      <c r="Q7" s="4"/>
      <c r="R7" s="4"/>
      <c r="S7" s="4"/>
    </row>
    <row r="8" customFormat="false" ht="15" hidden="false" customHeight="false" outlineLevel="0" collapsed="false">
      <c r="A8" s="4"/>
      <c r="B8" s="4"/>
      <c r="C8" s="4"/>
      <c r="D8" s="4"/>
      <c r="E8" s="4"/>
      <c r="F8" s="5"/>
      <c r="G8" s="6"/>
      <c r="H8" s="6"/>
      <c r="I8" s="7" t="str">
        <f aca="false">IF(AND(G8&lt;&gt;"",H8&lt;&gt;""),G8-H8,"")</f>
        <v/>
      </c>
      <c r="J8" s="8" t="str">
        <f aca="false">IFERROR(H8/G8,"")</f>
        <v/>
      </c>
      <c r="K8" s="8" t="str">
        <f aca="false">IFERROR(I8/G8,"")</f>
        <v/>
      </c>
      <c r="L8" s="9" t="str">
        <f aca="false">IF(AND(F8&lt;&gt;"",G8&lt;&gt;""),F8*G8/1000,"")</f>
        <v/>
      </c>
      <c r="M8" s="10" t="str">
        <f aca="false">IFERROR(L8/H8,"")</f>
        <v/>
      </c>
      <c r="N8" s="9" t="str">
        <f aca="false">IF(M8&lt;&gt;"",H8*M8,"")</f>
        <v/>
      </c>
      <c r="O8" s="9" t="str">
        <f aca="false">IF(M8&lt;&gt;"",I8*M8,"")</f>
        <v/>
      </c>
      <c r="P8" s="4"/>
      <c r="Q8" s="4"/>
      <c r="R8" s="4"/>
      <c r="S8" s="4"/>
    </row>
    <row r="9" customFormat="false" ht="15" hidden="false" customHeight="false" outlineLevel="0" collapsed="false">
      <c r="A9" s="4"/>
      <c r="B9" s="4"/>
      <c r="C9" s="4"/>
      <c r="D9" s="4"/>
      <c r="E9" s="4"/>
      <c r="F9" s="5"/>
      <c r="G9" s="6"/>
      <c r="H9" s="6"/>
      <c r="I9" s="7" t="str">
        <f aca="false">IF(AND(G9&lt;&gt;"",H9&lt;&gt;""),G9-H9,"")</f>
        <v/>
      </c>
      <c r="J9" s="8" t="str">
        <f aca="false">IFERROR(H9/G9,"")</f>
        <v/>
      </c>
      <c r="K9" s="8" t="str">
        <f aca="false">IFERROR(I9/G9,"")</f>
        <v/>
      </c>
      <c r="L9" s="9" t="str">
        <f aca="false">IF(AND(F9&lt;&gt;"",G9&lt;&gt;""),F9*G9/1000,"")</f>
        <v/>
      </c>
      <c r="M9" s="10" t="str">
        <f aca="false">IFERROR(L9/H9,"")</f>
        <v/>
      </c>
      <c r="N9" s="9" t="str">
        <f aca="false">IF(M9&lt;&gt;"",H9*M9,"")</f>
        <v/>
      </c>
      <c r="O9" s="9" t="str">
        <f aca="false">IF(M9&lt;&gt;"",I9*M9,"")</f>
        <v/>
      </c>
      <c r="P9" s="4"/>
      <c r="Q9" s="4"/>
      <c r="R9" s="4"/>
      <c r="S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5"/>
      <c r="G10" s="6"/>
      <c r="H10" s="6"/>
      <c r="I10" s="7" t="str">
        <f aca="false">IF(AND(G10&lt;&gt;"",H10&lt;&gt;""),G10-H10,"")</f>
        <v/>
      </c>
      <c r="J10" s="8" t="str">
        <f aca="false">IFERROR(H10/G10,"")</f>
        <v/>
      </c>
      <c r="K10" s="8" t="str">
        <f aca="false">IFERROR(I10/G10,"")</f>
        <v/>
      </c>
      <c r="L10" s="9" t="str">
        <f aca="false">IF(AND(F10&lt;&gt;"",G10&lt;&gt;""),F10*G10/1000,"")</f>
        <v/>
      </c>
      <c r="M10" s="10" t="str">
        <f aca="false">IFERROR(L10/H10,"")</f>
        <v/>
      </c>
      <c r="N10" s="9" t="str">
        <f aca="false">IF(M10&lt;&gt;"",H10*M10,"")</f>
        <v/>
      </c>
      <c r="O10" s="9" t="str">
        <f aca="false">IF(M10&lt;&gt;"",I10*M10,"")</f>
        <v/>
      </c>
      <c r="P10" s="4"/>
      <c r="Q10" s="4"/>
      <c r="R10" s="4"/>
      <c r="S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5"/>
      <c r="G11" s="6"/>
      <c r="H11" s="6"/>
      <c r="I11" s="7" t="str">
        <f aca="false">IF(AND(G11&lt;&gt;"",H11&lt;&gt;""),G11-H11,"")</f>
        <v/>
      </c>
      <c r="J11" s="8" t="str">
        <f aca="false">IFERROR(H11/G11,"")</f>
        <v/>
      </c>
      <c r="K11" s="8" t="str">
        <f aca="false">IFERROR(I11/G11,"")</f>
        <v/>
      </c>
      <c r="L11" s="9" t="str">
        <f aca="false">IF(AND(F11&lt;&gt;"",G11&lt;&gt;""),F11*G11/1000,"")</f>
        <v/>
      </c>
      <c r="M11" s="10" t="str">
        <f aca="false">IFERROR(L11/H11,"")</f>
        <v/>
      </c>
      <c r="N11" s="9" t="str">
        <f aca="false">IF(M11&lt;&gt;"",H11*M11,"")</f>
        <v/>
      </c>
      <c r="O11" s="9" t="str">
        <f aca="false">IF(M11&lt;&gt;"",I11*M11,"")</f>
        <v/>
      </c>
      <c r="P11" s="4"/>
      <c r="Q11" s="4"/>
      <c r="R11" s="4"/>
      <c r="S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5"/>
      <c r="G12" s="6"/>
      <c r="H12" s="6"/>
      <c r="I12" s="7" t="str">
        <f aca="false">IF(AND(G12&lt;&gt;"",H12&lt;&gt;""),G12-H12,"")</f>
        <v/>
      </c>
      <c r="J12" s="8" t="str">
        <f aca="false">IFERROR(H12/G12,"")</f>
        <v/>
      </c>
      <c r="K12" s="8" t="str">
        <f aca="false">IFERROR(I12/G12,"")</f>
        <v/>
      </c>
      <c r="L12" s="9" t="str">
        <f aca="false">IF(AND(F12&lt;&gt;"",G12&lt;&gt;""),F12*G12/1000,"")</f>
        <v/>
      </c>
      <c r="M12" s="10" t="str">
        <f aca="false">IFERROR(L12/H12,"")</f>
        <v/>
      </c>
      <c r="N12" s="9" t="str">
        <f aca="false">IF(M12&lt;&gt;"",H12*M12,"")</f>
        <v/>
      </c>
      <c r="O12" s="9" t="str">
        <f aca="false">IF(M12&lt;&gt;"",I12*M12,"")</f>
        <v/>
      </c>
      <c r="P12" s="4"/>
      <c r="Q12" s="4"/>
      <c r="R12" s="4"/>
      <c r="S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5"/>
      <c r="G13" s="6"/>
      <c r="H13" s="6"/>
      <c r="I13" s="7" t="str">
        <f aca="false">IF(AND(G13&lt;&gt;"",H13&lt;&gt;""),G13-H13,"")</f>
        <v/>
      </c>
      <c r="J13" s="8" t="str">
        <f aca="false">IFERROR(H13/G13,"")</f>
        <v/>
      </c>
      <c r="K13" s="8" t="str">
        <f aca="false">IFERROR(I13/G13,"")</f>
        <v/>
      </c>
      <c r="L13" s="9" t="str">
        <f aca="false">IF(AND(F13&lt;&gt;"",G13&lt;&gt;""),F13*G13/1000,"")</f>
        <v/>
      </c>
      <c r="M13" s="10" t="str">
        <f aca="false">IFERROR(L13/H13,"")</f>
        <v/>
      </c>
      <c r="N13" s="9" t="str">
        <f aca="false">IF(M13&lt;&gt;"",H13*M13,"")</f>
        <v/>
      </c>
      <c r="O13" s="9" t="str">
        <f aca="false">IF(M13&lt;&gt;"",I13*M13,"")</f>
        <v/>
      </c>
      <c r="P13" s="4"/>
      <c r="Q13" s="4"/>
      <c r="R13" s="4"/>
      <c r="S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5"/>
      <c r="G14" s="6"/>
      <c r="H14" s="6"/>
      <c r="I14" s="7" t="str">
        <f aca="false">IF(AND(G14&lt;&gt;"",H14&lt;&gt;""),G14-H14,"")</f>
        <v/>
      </c>
      <c r="J14" s="8" t="str">
        <f aca="false">IFERROR(H14/G14,"")</f>
        <v/>
      </c>
      <c r="K14" s="8" t="str">
        <f aca="false">IFERROR(I14/G14,"")</f>
        <v/>
      </c>
      <c r="L14" s="9" t="str">
        <f aca="false">IF(AND(F14&lt;&gt;"",G14&lt;&gt;""),F14*G14/1000,"")</f>
        <v/>
      </c>
      <c r="M14" s="10" t="str">
        <f aca="false">IFERROR(L14/H14,"")</f>
        <v/>
      </c>
      <c r="N14" s="9" t="str">
        <f aca="false">IF(M14&lt;&gt;"",H14*M14,"")</f>
        <v/>
      </c>
      <c r="O14" s="9" t="str">
        <f aca="false">IF(M14&lt;&gt;"",I14*M14,"")</f>
        <v/>
      </c>
      <c r="P14" s="4"/>
      <c r="Q14" s="4"/>
      <c r="R14" s="4"/>
      <c r="S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5"/>
      <c r="G15" s="6"/>
      <c r="H15" s="6"/>
      <c r="I15" s="7" t="str">
        <f aca="false">IF(AND(G15&lt;&gt;"",H15&lt;&gt;""),G15-H15,"")</f>
        <v/>
      </c>
      <c r="J15" s="8" t="str">
        <f aca="false">IFERROR(H15/G15,"")</f>
        <v/>
      </c>
      <c r="K15" s="8" t="str">
        <f aca="false">IFERROR(I15/G15,"")</f>
        <v/>
      </c>
      <c r="L15" s="9" t="str">
        <f aca="false">IF(AND(F15&lt;&gt;"",G15&lt;&gt;""),F15*G15/1000,"")</f>
        <v/>
      </c>
      <c r="M15" s="10" t="str">
        <f aca="false">IFERROR(L15/H15,"")</f>
        <v/>
      </c>
      <c r="N15" s="9" t="str">
        <f aca="false">IF(M15&lt;&gt;"",H15*M15,"")</f>
        <v/>
      </c>
      <c r="O15" s="9" t="str">
        <f aca="false">IF(M15&lt;&gt;"",I15*M15,"")</f>
        <v/>
      </c>
      <c r="P15" s="4"/>
      <c r="Q15" s="4"/>
      <c r="R15" s="4"/>
      <c r="S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5"/>
      <c r="G16" s="6"/>
      <c r="H16" s="6"/>
      <c r="I16" s="7" t="str">
        <f aca="false">IF(AND(G16&lt;&gt;"",H16&lt;&gt;""),G16-H16,"")</f>
        <v/>
      </c>
      <c r="J16" s="8" t="str">
        <f aca="false">IFERROR(H16/G16,"")</f>
        <v/>
      </c>
      <c r="K16" s="8" t="str">
        <f aca="false">IFERROR(I16/G16,"")</f>
        <v/>
      </c>
      <c r="L16" s="9" t="str">
        <f aca="false">IF(AND(F16&lt;&gt;"",G16&lt;&gt;""),F16*G16/1000,"")</f>
        <v/>
      </c>
      <c r="M16" s="10" t="str">
        <f aca="false">IFERROR(L16/H16,"")</f>
        <v/>
      </c>
      <c r="N16" s="9" t="str">
        <f aca="false">IF(M16&lt;&gt;"",H16*M16,"")</f>
        <v/>
      </c>
      <c r="O16" s="9" t="str">
        <f aca="false">IF(M16&lt;&gt;"",I16*M16,"")</f>
        <v/>
      </c>
      <c r="P16" s="4"/>
      <c r="Q16" s="4"/>
      <c r="R16" s="4"/>
      <c r="S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5"/>
      <c r="G17" s="6"/>
      <c r="H17" s="6"/>
      <c r="I17" s="7" t="str">
        <f aca="false">IF(AND(G17&lt;&gt;"",H17&lt;&gt;""),G17-H17,"")</f>
        <v/>
      </c>
      <c r="J17" s="8" t="str">
        <f aca="false">IFERROR(H17/G17,"")</f>
        <v/>
      </c>
      <c r="K17" s="8" t="str">
        <f aca="false">IFERROR(I17/G17,"")</f>
        <v/>
      </c>
      <c r="L17" s="9" t="str">
        <f aca="false">IF(AND(F17&lt;&gt;"",G17&lt;&gt;""),F17*G17/1000,"")</f>
        <v/>
      </c>
      <c r="M17" s="10" t="str">
        <f aca="false">IFERROR(L17/H17,"")</f>
        <v/>
      </c>
      <c r="N17" s="9" t="str">
        <f aca="false">IF(M17&lt;&gt;"",H17*M17,"")</f>
        <v/>
      </c>
      <c r="O17" s="9" t="str">
        <f aca="false">IF(M17&lt;&gt;"",I17*M17,"")</f>
        <v/>
      </c>
      <c r="P17" s="4"/>
      <c r="Q17" s="4"/>
      <c r="R17" s="4"/>
      <c r="S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5"/>
      <c r="G18" s="6"/>
      <c r="H18" s="6"/>
      <c r="I18" s="7" t="str">
        <f aca="false">IF(AND(G18&lt;&gt;"",H18&lt;&gt;""),G18-H18,"")</f>
        <v/>
      </c>
      <c r="J18" s="8" t="str">
        <f aca="false">IFERROR(H18/G18,"")</f>
        <v/>
      </c>
      <c r="K18" s="8" t="str">
        <f aca="false">IFERROR(I18/G18,"")</f>
        <v/>
      </c>
      <c r="L18" s="9" t="str">
        <f aca="false">IF(AND(F18&lt;&gt;"",G18&lt;&gt;""),F18*G18/1000,"")</f>
        <v/>
      </c>
      <c r="M18" s="10" t="str">
        <f aca="false">IFERROR(L18/H18,"")</f>
        <v/>
      </c>
      <c r="N18" s="9" t="str">
        <f aca="false">IF(M18&lt;&gt;"",H18*M18,"")</f>
        <v/>
      </c>
      <c r="O18" s="9" t="str">
        <f aca="false">IF(M18&lt;&gt;"",I18*M18,"")</f>
        <v/>
      </c>
      <c r="P18" s="4"/>
      <c r="Q18" s="4"/>
      <c r="R18" s="4"/>
      <c r="S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5"/>
      <c r="G19" s="6"/>
      <c r="H19" s="6"/>
      <c r="I19" s="7" t="str">
        <f aca="false">IF(AND(G19&lt;&gt;"",H19&lt;&gt;""),G19-H19,"")</f>
        <v/>
      </c>
      <c r="J19" s="8" t="str">
        <f aca="false">IFERROR(H19/G19,"")</f>
        <v/>
      </c>
      <c r="K19" s="8" t="str">
        <f aca="false">IFERROR(I19/G19,"")</f>
        <v/>
      </c>
      <c r="L19" s="9" t="str">
        <f aca="false">IF(AND(F19&lt;&gt;"",G19&lt;&gt;""),F19*G19/1000,"")</f>
        <v/>
      </c>
      <c r="M19" s="10" t="str">
        <f aca="false">IFERROR(L19/H19,"")</f>
        <v/>
      </c>
      <c r="N19" s="9" t="str">
        <f aca="false">IF(M19&lt;&gt;"",H19*M19,"")</f>
        <v/>
      </c>
      <c r="O19" s="9" t="str">
        <f aca="false">IF(M19&lt;&gt;"",I19*M19,"")</f>
        <v/>
      </c>
      <c r="P19" s="4"/>
      <c r="Q19" s="4"/>
      <c r="R19" s="4"/>
      <c r="S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5"/>
      <c r="G20" s="6"/>
      <c r="H20" s="6"/>
      <c r="I20" s="7" t="str">
        <f aca="false">IF(AND(G20&lt;&gt;"",H20&lt;&gt;""),G20-H20,"")</f>
        <v/>
      </c>
      <c r="J20" s="8" t="str">
        <f aca="false">IFERROR(H20/G20,"")</f>
        <v/>
      </c>
      <c r="K20" s="8" t="str">
        <f aca="false">IFERROR(I20/G20,"")</f>
        <v/>
      </c>
      <c r="L20" s="9" t="str">
        <f aca="false">IF(AND(F20&lt;&gt;"",G20&lt;&gt;""),F20*G20/1000,"")</f>
        <v/>
      </c>
      <c r="M20" s="10" t="str">
        <f aca="false">IFERROR(L20/H20,"")</f>
        <v/>
      </c>
      <c r="N20" s="9" t="str">
        <f aca="false">IF(M20&lt;&gt;"",H20*M20,"")</f>
        <v/>
      </c>
      <c r="O20" s="9" t="str">
        <f aca="false">IF(M20&lt;&gt;"",I20*M20,"")</f>
        <v/>
      </c>
      <c r="P20" s="4"/>
      <c r="Q20" s="4"/>
      <c r="R20" s="4"/>
      <c r="S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5"/>
      <c r="G21" s="6"/>
      <c r="H21" s="6"/>
      <c r="I21" s="7" t="str">
        <f aca="false">IF(AND(G21&lt;&gt;"",H21&lt;&gt;""),G21-H21,"")</f>
        <v/>
      </c>
      <c r="J21" s="8" t="str">
        <f aca="false">IFERROR(H21/G21,"")</f>
        <v/>
      </c>
      <c r="K21" s="8" t="str">
        <f aca="false">IFERROR(I21/G21,"")</f>
        <v/>
      </c>
      <c r="L21" s="9" t="str">
        <f aca="false">IF(AND(F21&lt;&gt;"",G21&lt;&gt;""),F21*G21/1000,"")</f>
        <v/>
      </c>
      <c r="M21" s="10" t="str">
        <f aca="false">IFERROR(L21/H21,"")</f>
        <v/>
      </c>
      <c r="N21" s="9" t="str">
        <f aca="false">IF(M21&lt;&gt;"",H21*M21,"")</f>
        <v/>
      </c>
      <c r="O21" s="9" t="str">
        <f aca="false">IF(M21&lt;&gt;"",I21*M21,"")</f>
        <v/>
      </c>
      <c r="P21" s="4"/>
      <c r="Q21" s="4"/>
      <c r="R21" s="4"/>
      <c r="S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5"/>
      <c r="G22" s="6"/>
      <c r="H22" s="6"/>
      <c r="I22" s="7" t="str">
        <f aca="false">IF(AND(G22&lt;&gt;"",H22&lt;&gt;""),G22-H22,"")</f>
        <v/>
      </c>
      <c r="J22" s="8" t="str">
        <f aca="false">IFERROR(H22/G22,"")</f>
        <v/>
      </c>
      <c r="K22" s="8" t="str">
        <f aca="false">IFERROR(I22/G22,"")</f>
        <v/>
      </c>
      <c r="L22" s="9" t="str">
        <f aca="false">IF(AND(F22&lt;&gt;"",G22&lt;&gt;""),F22*G22/1000,"")</f>
        <v/>
      </c>
      <c r="M22" s="10" t="str">
        <f aca="false">IFERROR(L22/H22,"")</f>
        <v/>
      </c>
      <c r="N22" s="9" t="str">
        <f aca="false">IF(M22&lt;&gt;"",H22*M22,"")</f>
        <v/>
      </c>
      <c r="O22" s="9" t="str">
        <f aca="false">IF(M22&lt;&gt;"",I22*M22,"")</f>
        <v/>
      </c>
      <c r="P22" s="4"/>
      <c r="Q22" s="4"/>
      <c r="R22" s="4"/>
      <c r="S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5"/>
      <c r="G23" s="6"/>
      <c r="H23" s="6"/>
      <c r="I23" s="7" t="str">
        <f aca="false">IF(AND(G23&lt;&gt;"",H23&lt;&gt;""),G23-H23,"")</f>
        <v/>
      </c>
      <c r="J23" s="8" t="str">
        <f aca="false">IFERROR(H23/G23,"")</f>
        <v/>
      </c>
      <c r="K23" s="8" t="str">
        <f aca="false">IFERROR(I23/G23,"")</f>
        <v/>
      </c>
      <c r="L23" s="9" t="str">
        <f aca="false">IF(AND(F23&lt;&gt;"",G23&lt;&gt;""),F23*G23/1000,"")</f>
        <v/>
      </c>
      <c r="M23" s="10" t="str">
        <f aca="false">IFERROR(L23/H23,"")</f>
        <v/>
      </c>
      <c r="N23" s="9" t="str">
        <f aca="false">IF(M23&lt;&gt;"",H23*M23,"")</f>
        <v/>
      </c>
      <c r="O23" s="9" t="str">
        <f aca="false">IF(M23&lt;&gt;"",I23*M23,"")</f>
        <v/>
      </c>
      <c r="P23" s="4"/>
      <c r="Q23" s="4"/>
      <c r="R23" s="4"/>
      <c r="S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5"/>
      <c r="G24" s="6"/>
      <c r="H24" s="6"/>
      <c r="I24" s="7" t="str">
        <f aca="false">IF(AND(G24&lt;&gt;"",H24&lt;&gt;""),G24-H24,"")</f>
        <v/>
      </c>
      <c r="J24" s="8" t="str">
        <f aca="false">IFERROR(H24/G24,"")</f>
        <v/>
      </c>
      <c r="K24" s="8" t="str">
        <f aca="false">IFERROR(I24/G24,"")</f>
        <v/>
      </c>
      <c r="L24" s="9" t="str">
        <f aca="false">IF(AND(F24&lt;&gt;"",G24&lt;&gt;""),F24*G24/1000,"")</f>
        <v/>
      </c>
      <c r="M24" s="10" t="str">
        <f aca="false">IFERROR(L24/H24,"")</f>
        <v/>
      </c>
      <c r="N24" s="9" t="str">
        <f aca="false">IF(M24&lt;&gt;"",H24*M24,"")</f>
        <v/>
      </c>
      <c r="O24" s="9" t="str">
        <f aca="false">IF(M24&lt;&gt;"",I24*M24,"")</f>
        <v/>
      </c>
      <c r="P24" s="4"/>
      <c r="Q24" s="4"/>
      <c r="R24" s="4"/>
      <c r="S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5"/>
      <c r="G25" s="6"/>
      <c r="H25" s="6"/>
      <c r="I25" s="7" t="str">
        <f aca="false">IF(AND(G25&lt;&gt;"",H25&lt;&gt;""),G25-H25,"")</f>
        <v/>
      </c>
      <c r="J25" s="8" t="str">
        <f aca="false">IFERROR(H25/G25,"")</f>
        <v/>
      </c>
      <c r="K25" s="8" t="str">
        <f aca="false">IFERROR(I25/G25,"")</f>
        <v/>
      </c>
      <c r="L25" s="9" t="str">
        <f aca="false">IF(AND(F25&lt;&gt;"",G25&lt;&gt;""),F25*G25/1000,"")</f>
        <v/>
      </c>
      <c r="M25" s="10" t="str">
        <f aca="false">IFERROR(L25/H25,"")</f>
        <v/>
      </c>
      <c r="N25" s="9" t="str">
        <f aca="false">IF(M25&lt;&gt;"",H25*M25,"")</f>
        <v/>
      </c>
      <c r="O25" s="9" t="str">
        <f aca="false">IF(M25&lt;&gt;"",I25*M25,"")</f>
        <v/>
      </c>
      <c r="P25" s="4"/>
      <c r="Q25" s="4"/>
      <c r="R25" s="4"/>
      <c r="S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5"/>
      <c r="G26" s="6"/>
      <c r="H26" s="6"/>
      <c r="I26" s="7" t="str">
        <f aca="false">IF(AND(G26&lt;&gt;"",H26&lt;&gt;""),G26-H26,"")</f>
        <v/>
      </c>
      <c r="J26" s="8" t="str">
        <f aca="false">IFERROR(H26/G26,"")</f>
        <v/>
      </c>
      <c r="K26" s="8" t="str">
        <f aca="false">IFERROR(I26/G26,"")</f>
        <v/>
      </c>
      <c r="L26" s="9" t="str">
        <f aca="false">IF(AND(F26&lt;&gt;"",G26&lt;&gt;""),F26*G26/1000,"")</f>
        <v/>
      </c>
      <c r="M26" s="10" t="str">
        <f aca="false">IFERROR(L26/H26,"")</f>
        <v/>
      </c>
      <c r="N26" s="9" t="str">
        <f aca="false">IF(M26&lt;&gt;"",H26*M26,"")</f>
        <v/>
      </c>
      <c r="O26" s="9" t="str">
        <f aca="false">IF(M26&lt;&gt;"",I26*M26,"")</f>
        <v/>
      </c>
      <c r="P26" s="4"/>
      <c r="Q26" s="4"/>
      <c r="R26" s="4"/>
      <c r="S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5"/>
      <c r="G27" s="6"/>
      <c r="H27" s="6"/>
      <c r="I27" s="7" t="str">
        <f aca="false">IF(AND(G27&lt;&gt;"",H27&lt;&gt;""),G27-H27,"")</f>
        <v/>
      </c>
      <c r="J27" s="8" t="str">
        <f aca="false">IFERROR(H27/G27,"")</f>
        <v/>
      </c>
      <c r="K27" s="8" t="str">
        <f aca="false">IFERROR(I27/G27,"")</f>
        <v/>
      </c>
      <c r="L27" s="9" t="str">
        <f aca="false">IF(AND(F27&lt;&gt;"",G27&lt;&gt;""),F27*G27/1000,"")</f>
        <v/>
      </c>
      <c r="M27" s="10" t="str">
        <f aca="false">IFERROR(L27/H27,"")</f>
        <v/>
      </c>
      <c r="N27" s="9" t="str">
        <f aca="false">IF(M27&lt;&gt;"",H27*M27,"")</f>
        <v/>
      </c>
      <c r="O27" s="9" t="str">
        <f aca="false">IF(M27&lt;&gt;"",I27*M27,"")</f>
        <v/>
      </c>
      <c r="P27" s="4"/>
      <c r="Q27" s="4"/>
      <c r="R27" s="4"/>
      <c r="S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5"/>
      <c r="G28" s="6"/>
      <c r="H28" s="6"/>
      <c r="I28" s="7" t="str">
        <f aca="false">IF(AND(G28&lt;&gt;"",H28&lt;&gt;""),G28-H28,"")</f>
        <v/>
      </c>
      <c r="J28" s="8" t="str">
        <f aca="false">IFERROR(H28/G28,"")</f>
        <v/>
      </c>
      <c r="K28" s="8" t="str">
        <f aca="false">IFERROR(I28/G28,"")</f>
        <v/>
      </c>
      <c r="L28" s="9" t="str">
        <f aca="false">IF(AND(F28&lt;&gt;"",G28&lt;&gt;""),F28*G28/1000,"")</f>
        <v/>
      </c>
      <c r="M28" s="10" t="str">
        <f aca="false">IFERROR(L28/H28,"")</f>
        <v/>
      </c>
      <c r="N28" s="9" t="str">
        <f aca="false">IF(M28&lt;&gt;"",H28*M28,"")</f>
        <v/>
      </c>
      <c r="O28" s="9" t="str">
        <f aca="false">IF(M28&lt;&gt;"",I28*M28,"")</f>
        <v/>
      </c>
      <c r="P28" s="4"/>
      <c r="Q28" s="4"/>
      <c r="R28" s="4"/>
      <c r="S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5"/>
      <c r="G29" s="6"/>
      <c r="H29" s="6"/>
      <c r="I29" s="7" t="str">
        <f aca="false">IF(AND(G29&lt;&gt;"",H29&lt;&gt;""),G29-H29,"")</f>
        <v/>
      </c>
      <c r="J29" s="8" t="str">
        <f aca="false">IFERROR(H29/G29,"")</f>
        <v/>
      </c>
      <c r="K29" s="8" t="str">
        <f aca="false">IFERROR(I29/G29,"")</f>
        <v/>
      </c>
      <c r="L29" s="9" t="str">
        <f aca="false">IF(AND(F29&lt;&gt;"",G29&lt;&gt;""),F29*G29/1000,"")</f>
        <v/>
      </c>
      <c r="M29" s="10" t="str">
        <f aca="false">IFERROR(L29/H29,"")</f>
        <v/>
      </c>
      <c r="N29" s="9" t="str">
        <f aca="false">IF(M29&lt;&gt;"",H29*M29,"")</f>
        <v/>
      </c>
      <c r="O29" s="9" t="str">
        <f aca="false">IF(M29&lt;&gt;"",I29*M29,"")</f>
        <v/>
      </c>
      <c r="P29" s="4"/>
      <c r="Q29" s="4"/>
      <c r="R29" s="4"/>
      <c r="S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5"/>
      <c r="G30" s="6"/>
      <c r="H30" s="6"/>
      <c r="I30" s="7" t="str">
        <f aca="false">IF(AND(G30&lt;&gt;"",H30&lt;&gt;""),G30-H30,"")</f>
        <v/>
      </c>
      <c r="J30" s="8" t="str">
        <f aca="false">IFERROR(H30/G30,"")</f>
        <v/>
      </c>
      <c r="K30" s="8" t="str">
        <f aca="false">IFERROR(I30/G30,"")</f>
        <v/>
      </c>
      <c r="L30" s="9" t="str">
        <f aca="false">IF(AND(F30&lt;&gt;"",G30&lt;&gt;""),F30*G30/1000,"")</f>
        <v/>
      </c>
      <c r="M30" s="10" t="str">
        <f aca="false">IFERROR(L30/H30,"")</f>
        <v/>
      </c>
      <c r="N30" s="9" t="str">
        <f aca="false">IF(M30&lt;&gt;"",H30*M30,"")</f>
        <v/>
      </c>
      <c r="O30" s="9" t="str">
        <f aca="false">IF(M30&lt;&gt;"",I30*M30,"")</f>
        <v/>
      </c>
      <c r="P30" s="4"/>
      <c r="Q30" s="4"/>
      <c r="R30" s="4"/>
      <c r="S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5"/>
      <c r="G31" s="6"/>
      <c r="H31" s="6"/>
      <c r="I31" s="7" t="str">
        <f aca="false">IF(AND(G31&lt;&gt;"",H31&lt;&gt;""),G31-H31,"")</f>
        <v/>
      </c>
      <c r="J31" s="8" t="str">
        <f aca="false">IFERROR(H31/G31,"")</f>
        <v/>
      </c>
      <c r="K31" s="8" t="str">
        <f aca="false">IFERROR(I31/G31,"")</f>
        <v/>
      </c>
      <c r="L31" s="9" t="str">
        <f aca="false">IF(AND(F31&lt;&gt;"",G31&lt;&gt;""),F31*G31/1000,"")</f>
        <v/>
      </c>
      <c r="M31" s="10" t="str">
        <f aca="false">IFERROR(L31/H31,"")</f>
        <v/>
      </c>
      <c r="N31" s="9" t="str">
        <f aca="false">IF(M31&lt;&gt;"",H31*M31,"")</f>
        <v/>
      </c>
      <c r="O31" s="9" t="str">
        <f aca="false">IF(M31&lt;&gt;"",I31*M31,"")</f>
        <v/>
      </c>
      <c r="P31" s="4"/>
      <c r="Q31" s="4"/>
      <c r="R31" s="4"/>
      <c r="S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5"/>
      <c r="G32" s="6"/>
      <c r="H32" s="6"/>
      <c r="I32" s="7" t="str">
        <f aca="false">IF(AND(G32&lt;&gt;"",H32&lt;&gt;""),G32-H32,"")</f>
        <v/>
      </c>
      <c r="J32" s="8" t="str">
        <f aca="false">IFERROR(H32/G32,"")</f>
        <v/>
      </c>
      <c r="K32" s="8" t="str">
        <f aca="false">IFERROR(I32/G32,"")</f>
        <v/>
      </c>
      <c r="L32" s="9" t="str">
        <f aca="false">IF(AND(F32&lt;&gt;"",G32&lt;&gt;""),F32*G32/1000,"")</f>
        <v/>
      </c>
      <c r="M32" s="10" t="str">
        <f aca="false">IFERROR(L32/H32,"")</f>
        <v/>
      </c>
      <c r="N32" s="9" t="str">
        <f aca="false">IF(M32&lt;&gt;"",H32*M32,"")</f>
        <v/>
      </c>
      <c r="O32" s="9" t="str">
        <f aca="false">IF(M32&lt;&gt;"",I32*M32,"")</f>
        <v/>
      </c>
      <c r="P32" s="4"/>
      <c r="Q32" s="4"/>
      <c r="R32" s="4"/>
      <c r="S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5"/>
      <c r="G33" s="6"/>
      <c r="H33" s="6"/>
      <c r="I33" s="7" t="str">
        <f aca="false">IF(AND(G33&lt;&gt;"",H33&lt;&gt;""),G33-H33,"")</f>
        <v/>
      </c>
      <c r="J33" s="8" t="str">
        <f aca="false">IFERROR(H33/G33,"")</f>
        <v/>
      </c>
      <c r="K33" s="8" t="str">
        <f aca="false">IFERROR(I33/G33,"")</f>
        <v/>
      </c>
      <c r="L33" s="9" t="str">
        <f aca="false">IF(AND(F33&lt;&gt;"",G33&lt;&gt;""),F33*G33/1000,"")</f>
        <v/>
      </c>
      <c r="M33" s="10" t="str">
        <f aca="false">IFERROR(L33/H33,"")</f>
        <v/>
      </c>
      <c r="N33" s="9" t="str">
        <f aca="false">IF(M33&lt;&gt;"",H33*M33,"")</f>
        <v/>
      </c>
      <c r="O33" s="9" t="str">
        <f aca="false">IF(M33&lt;&gt;"",I33*M33,"")</f>
        <v/>
      </c>
      <c r="P33" s="4"/>
      <c r="Q33" s="4"/>
      <c r="R33" s="4"/>
      <c r="S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5"/>
      <c r="G34" s="6"/>
      <c r="H34" s="6"/>
      <c r="I34" s="7" t="str">
        <f aca="false">IF(AND(G34&lt;&gt;"",H34&lt;&gt;""),G34-H34,"")</f>
        <v/>
      </c>
      <c r="J34" s="8" t="str">
        <f aca="false">IFERROR(H34/G34,"")</f>
        <v/>
      </c>
      <c r="K34" s="8" t="str">
        <f aca="false">IFERROR(I34/G34,"")</f>
        <v/>
      </c>
      <c r="L34" s="9" t="str">
        <f aca="false">IF(AND(F34&lt;&gt;"",G34&lt;&gt;""),F34*G34/1000,"")</f>
        <v/>
      </c>
      <c r="M34" s="10" t="str">
        <f aca="false">IFERROR(L34/H34,"")</f>
        <v/>
      </c>
      <c r="N34" s="9" t="str">
        <f aca="false">IF(M34&lt;&gt;"",H34*M34,"")</f>
        <v/>
      </c>
      <c r="O34" s="9" t="str">
        <f aca="false">IF(M34&lt;&gt;"",I34*M34,"")</f>
        <v/>
      </c>
      <c r="P34" s="4"/>
      <c r="Q34" s="4"/>
      <c r="R34" s="4"/>
      <c r="S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5"/>
      <c r="G35" s="6"/>
      <c r="H35" s="6"/>
      <c r="I35" s="7" t="str">
        <f aca="false">IF(AND(G35&lt;&gt;"",H35&lt;&gt;""),G35-H35,"")</f>
        <v/>
      </c>
      <c r="J35" s="8" t="str">
        <f aca="false">IFERROR(H35/G35,"")</f>
        <v/>
      </c>
      <c r="K35" s="8" t="str">
        <f aca="false">IFERROR(I35/G35,"")</f>
        <v/>
      </c>
      <c r="L35" s="9" t="str">
        <f aca="false">IF(AND(F35&lt;&gt;"",G35&lt;&gt;""),F35*G35/1000,"")</f>
        <v/>
      </c>
      <c r="M35" s="10" t="str">
        <f aca="false">IFERROR(L35/H35,"")</f>
        <v/>
      </c>
      <c r="N35" s="9" t="str">
        <f aca="false">IF(M35&lt;&gt;"",H35*M35,"")</f>
        <v/>
      </c>
      <c r="O35" s="9" t="str">
        <f aca="false">IF(M35&lt;&gt;"",I35*M35,"")</f>
        <v/>
      </c>
      <c r="P35" s="4"/>
      <c r="Q35" s="4"/>
      <c r="R35" s="4"/>
      <c r="S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5"/>
      <c r="G36" s="6"/>
      <c r="H36" s="6"/>
      <c r="I36" s="7" t="str">
        <f aca="false">IF(AND(G36&lt;&gt;"",H36&lt;&gt;""),G36-H36,"")</f>
        <v/>
      </c>
      <c r="J36" s="8" t="str">
        <f aca="false">IFERROR(H36/G36,"")</f>
        <v/>
      </c>
      <c r="K36" s="8" t="str">
        <f aca="false">IFERROR(I36/G36,"")</f>
        <v/>
      </c>
      <c r="L36" s="9" t="str">
        <f aca="false">IF(AND(F36&lt;&gt;"",G36&lt;&gt;""),F36*G36/1000,"")</f>
        <v/>
      </c>
      <c r="M36" s="10" t="str">
        <f aca="false">IFERROR(L36/H36,"")</f>
        <v/>
      </c>
      <c r="N36" s="9" t="str">
        <f aca="false">IF(M36&lt;&gt;"",H36*M36,"")</f>
        <v/>
      </c>
      <c r="O36" s="9" t="str">
        <f aca="false">IF(M36&lt;&gt;"",I36*M36,"")</f>
        <v/>
      </c>
      <c r="P36" s="4"/>
      <c r="Q36" s="4"/>
      <c r="R36" s="4"/>
      <c r="S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5"/>
      <c r="G37" s="6"/>
      <c r="H37" s="6"/>
      <c r="I37" s="7" t="str">
        <f aca="false">IF(AND(G37&lt;&gt;"",H37&lt;&gt;""),G37-H37,"")</f>
        <v/>
      </c>
      <c r="J37" s="8" t="str">
        <f aca="false">IFERROR(H37/G37,"")</f>
        <v/>
      </c>
      <c r="K37" s="8" t="str">
        <f aca="false">IFERROR(I37/G37,"")</f>
        <v/>
      </c>
      <c r="L37" s="9" t="str">
        <f aca="false">IF(AND(F37&lt;&gt;"",G37&lt;&gt;""),F37*G37/1000,"")</f>
        <v/>
      </c>
      <c r="M37" s="10" t="str">
        <f aca="false">IFERROR(L37/H37,"")</f>
        <v/>
      </c>
      <c r="N37" s="9" t="str">
        <f aca="false">IF(M37&lt;&gt;"",H37*M37,"")</f>
        <v/>
      </c>
      <c r="O37" s="9" t="str">
        <f aca="false">IF(M37&lt;&gt;"",I37*M37,"")</f>
        <v/>
      </c>
      <c r="P37" s="4"/>
      <c r="Q37" s="4"/>
      <c r="R37" s="4"/>
      <c r="S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5"/>
      <c r="G38" s="6"/>
      <c r="H38" s="6"/>
      <c r="I38" s="7" t="str">
        <f aca="false">IF(AND(G38&lt;&gt;"",H38&lt;&gt;""),G38-H38,"")</f>
        <v/>
      </c>
      <c r="J38" s="8" t="str">
        <f aca="false">IFERROR(H38/G38,"")</f>
        <v/>
      </c>
      <c r="K38" s="8" t="str">
        <f aca="false">IFERROR(I38/G38,"")</f>
        <v/>
      </c>
      <c r="L38" s="9" t="str">
        <f aca="false">IF(AND(F38&lt;&gt;"",G38&lt;&gt;""),F38*G38/1000,"")</f>
        <v/>
      </c>
      <c r="M38" s="10" t="str">
        <f aca="false">IFERROR(L38/H38,"")</f>
        <v/>
      </c>
      <c r="N38" s="9" t="str">
        <f aca="false">IF(M38&lt;&gt;"",H38*M38,"")</f>
        <v/>
      </c>
      <c r="O38" s="9" t="str">
        <f aca="false">IF(M38&lt;&gt;"",I38*M38,"")</f>
        <v/>
      </c>
      <c r="P38" s="4"/>
      <c r="Q38" s="4"/>
      <c r="R38" s="4"/>
      <c r="S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5"/>
      <c r="G39" s="6"/>
      <c r="H39" s="6"/>
      <c r="I39" s="7" t="str">
        <f aca="false">IF(AND(G39&lt;&gt;"",H39&lt;&gt;""),G39-H39,"")</f>
        <v/>
      </c>
      <c r="J39" s="8" t="str">
        <f aca="false">IFERROR(H39/G39,"")</f>
        <v/>
      </c>
      <c r="K39" s="8" t="str">
        <f aca="false">IFERROR(I39/G39,"")</f>
        <v/>
      </c>
      <c r="L39" s="9" t="str">
        <f aca="false">IF(AND(F39&lt;&gt;"",G39&lt;&gt;""),F39*G39/1000,"")</f>
        <v/>
      </c>
      <c r="M39" s="10" t="str">
        <f aca="false">IFERROR(L39/H39,"")</f>
        <v/>
      </c>
      <c r="N39" s="9" t="str">
        <f aca="false">IF(M39&lt;&gt;"",H39*M39,"")</f>
        <v/>
      </c>
      <c r="O39" s="9" t="str">
        <f aca="false">IF(M39&lt;&gt;"",I39*M39,"")</f>
        <v/>
      </c>
      <c r="P39" s="4"/>
      <c r="Q39" s="4"/>
      <c r="R39" s="4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5"/>
      <c r="G40" s="6"/>
      <c r="H40" s="6"/>
      <c r="I40" s="7" t="str">
        <f aca="false">IF(AND(G40&lt;&gt;"",H40&lt;&gt;""),G40-H40,"")</f>
        <v/>
      </c>
      <c r="J40" s="8" t="str">
        <f aca="false">IFERROR(H40/G40,"")</f>
        <v/>
      </c>
      <c r="K40" s="8" t="str">
        <f aca="false">IFERROR(I40/G40,"")</f>
        <v/>
      </c>
      <c r="L40" s="9" t="str">
        <f aca="false">IF(AND(F40&lt;&gt;"",G40&lt;&gt;""),F40*G40/1000,"")</f>
        <v/>
      </c>
      <c r="M40" s="10" t="str">
        <f aca="false">IFERROR(L40/H40,"")</f>
        <v/>
      </c>
      <c r="N40" s="9" t="str">
        <f aca="false">IF(M40&lt;&gt;"",H40*M40,"")</f>
        <v/>
      </c>
      <c r="O40" s="9" t="str">
        <f aca="false">IF(M40&lt;&gt;"",I40*M40,"")</f>
        <v/>
      </c>
      <c r="P40" s="4"/>
      <c r="Q40" s="4"/>
      <c r="R40" s="4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5"/>
      <c r="G41" s="6"/>
      <c r="H41" s="6"/>
      <c r="I41" s="7" t="str">
        <f aca="false">IF(AND(G41&lt;&gt;"",H41&lt;&gt;""),G41-H41,"")</f>
        <v/>
      </c>
      <c r="J41" s="8" t="str">
        <f aca="false">IFERROR(H41/G41,"")</f>
        <v/>
      </c>
      <c r="K41" s="8" t="str">
        <f aca="false">IFERROR(I41/G41,"")</f>
        <v/>
      </c>
      <c r="L41" s="9" t="str">
        <f aca="false">IF(AND(F41&lt;&gt;"",G41&lt;&gt;""),F41*G41/1000,"")</f>
        <v/>
      </c>
      <c r="M41" s="10" t="str">
        <f aca="false">IFERROR(L41/H41,"")</f>
        <v/>
      </c>
      <c r="N41" s="9" t="str">
        <f aca="false">IF(M41&lt;&gt;"",H41*M41,"")</f>
        <v/>
      </c>
      <c r="O41" s="9" t="str">
        <f aca="false">IF(M41&lt;&gt;"",I41*M41,"")</f>
        <v/>
      </c>
      <c r="P41" s="4"/>
      <c r="Q41" s="4"/>
      <c r="R41" s="4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5"/>
      <c r="G42" s="6"/>
      <c r="H42" s="6"/>
      <c r="I42" s="7" t="str">
        <f aca="false">IF(AND(G42&lt;&gt;"",H42&lt;&gt;""),G42-H42,"")</f>
        <v/>
      </c>
      <c r="J42" s="8" t="str">
        <f aca="false">IFERROR(H42/G42,"")</f>
        <v/>
      </c>
      <c r="K42" s="8" t="str">
        <f aca="false">IFERROR(I42/G42,"")</f>
        <v/>
      </c>
      <c r="L42" s="9" t="str">
        <f aca="false">IF(AND(F42&lt;&gt;"",G42&lt;&gt;""),F42*G42/1000,"")</f>
        <v/>
      </c>
      <c r="M42" s="10" t="str">
        <f aca="false">IFERROR(L42/H42,"")</f>
        <v/>
      </c>
      <c r="N42" s="9" t="str">
        <f aca="false">IF(M42&lt;&gt;"",H42*M42,"")</f>
        <v/>
      </c>
      <c r="O42" s="9" t="str">
        <f aca="false">IF(M42&lt;&gt;"",I42*M42,"")</f>
        <v/>
      </c>
      <c r="P42" s="4"/>
      <c r="Q42" s="4"/>
      <c r="R42" s="4"/>
      <c r="S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5"/>
      <c r="G43" s="6"/>
      <c r="H43" s="6"/>
      <c r="I43" s="7" t="str">
        <f aca="false">IF(AND(G43&lt;&gt;"",H43&lt;&gt;""),G43-H43,"")</f>
        <v/>
      </c>
      <c r="J43" s="8" t="str">
        <f aca="false">IFERROR(H43/G43,"")</f>
        <v/>
      </c>
      <c r="K43" s="8" t="str">
        <f aca="false">IFERROR(I43/G43,"")</f>
        <v/>
      </c>
      <c r="L43" s="9" t="str">
        <f aca="false">IF(AND(F43&lt;&gt;"",G43&lt;&gt;""),F43*G43/1000,"")</f>
        <v/>
      </c>
      <c r="M43" s="10" t="str">
        <f aca="false">IFERROR(L43/H43,"")</f>
        <v/>
      </c>
      <c r="N43" s="9" t="str">
        <f aca="false">IF(M43&lt;&gt;"",H43*M43,"")</f>
        <v/>
      </c>
      <c r="O43" s="9" t="str">
        <f aca="false">IF(M43&lt;&gt;"",I43*M43,"")</f>
        <v/>
      </c>
      <c r="P43" s="4"/>
      <c r="Q43" s="4"/>
      <c r="R43" s="4"/>
      <c r="S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5"/>
      <c r="G44" s="6"/>
      <c r="H44" s="6"/>
      <c r="I44" s="7" t="str">
        <f aca="false">IF(AND(G44&lt;&gt;"",H44&lt;&gt;""),G44-H44,"")</f>
        <v/>
      </c>
      <c r="J44" s="8" t="str">
        <f aca="false">IFERROR(H44/G44,"")</f>
        <v/>
      </c>
      <c r="K44" s="8" t="str">
        <f aca="false">IFERROR(I44/G44,"")</f>
        <v/>
      </c>
      <c r="L44" s="9" t="str">
        <f aca="false">IF(AND(F44&lt;&gt;"",G44&lt;&gt;""),F44*G44/1000,"")</f>
        <v/>
      </c>
      <c r="M44" s="10" t="str">
        <f aca="false">IFERROR(L44/H44,"")</f>
        <v/>
      </c>
      <c r="N44" s="9" t="str">
        <f aca="false">IF(M44&lt;&gt;"",H44*M44,"")</f>
        <v/>
      </c>
      <c r="O44" s="9" t="str">
        <f aca="false">IF(M44&lt;&gt;"",I44*M44,"")</f>
        <v/>
      </c>
      <c r="P44" s="4"/>
      <c r="Q44" s="4"/>
      <c r="R44" s="4"/>
      <c r="S44" s="4"/>
    </row>
    <row r="45" customFormat="false" ht="15" hidden="false" customHeight="false" outlineLevel="0" collapsed="false">
      <c r="A45" s="12"/>
      <c r="B45" s="12"/>
      <c r="C45" s="13" t="s">
        <v>28</v>
      </c>
      <c r="D45" s="12"/>
      <c r="E45" s="12"/>
      <c r="F45" s="12"/>
      <c r="G45" s="14" t="n">
        <f aca="false">SUM(G5:G44)</f>
        <v>39600</v>
      </c>
      <c r="H45" s="14" t="n">
        <f aca="false">SUM(H5:H44)</f>
        <v>39206</v>
      </c>
      <c r="I45" s="14" t="n">
        <f aca="false">SUM(I5:I44)</f>
        <v>394</v>
      </c>
      <c r="J45" s="15" t="n">
        <f aca="false">IFERROR(H45/G45,0)</f>
        <v>0.990050505050505</v>
      </c>
      <c r="K45" s="15" t="n">
        <f aca="false">IFERROR(I45/G45,0)</f>
        <v>0.00994949494949495</v>
      </c>
      <c r="L45" s="16" t="n">
        <f aca="false">SUM(L5:L44)</f>
        <v>2613600</v>
      </c>
      <c r="M45" s="13"/>
      <c r="N45" s="16" t="n">
        <f aca="false">SUM(N5:N44)</f>
        <v>2613600</v>
      </c>
      <c r="O45" s="16" t="n">
        <f aca="false">SUM(O5:O44)</f>
        <v>26265.3267357037</v>
      </c>
      <c r="P45" s="13"/>
      <c r="Q45" s="13"/>
      <c r="R45" s="13"/>
      <c r="S45" s="13"/>
    </row>
    <row r="47" customFormat="false" ht="15" hidden="false" customHeight="false" outlineLevel="0" collapsed="false">
      <c r="A47" s="17" t="s">
        <v>29</v>
      </c>
    </row>
    <row r="48" customFormat="false" ht="15" hidden="false" customHeight="false" outlineLevel="0" collapsed="false">
      <c r="A48" s="18" t="s">
        <v>30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customFormat="false" ht="15" hidden="false" customHeight="false" outlineLevel="0" collapsed="false">
      <c r="A49" s="18" t="s">
        <v>31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customFormat="false" ht="15" hidden="false" customHeight="false" outlineLevel="0" collapsed="false">
      <c r="A50" s="18" t="s">
        <v>32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customFormat="false" ht="15" hidden="false" customHeight="false" outlineLevel="0" collapsed="false">
      <c r="A51" s="18" t="s">
        <v>33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customFormat="false" ht="15" hidden="false" customHeight="false" outlineLevel="0" collapsed="false">
      <c r="A52" s="18" t="s">
        <v>34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customFormat="false" ht="15" hidden="false" customHeight="false" outlineLevel="0" collapsed="false">
      <c r="A53" s="18" t="s">
        <v>35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customFormat="false" ht="15" hidden="false" customHeight="false" outlineLevel="0" collapsed="false">
      <c r="A54" s="18" t="s">
        <v>36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customFormat="false" ht="15" hidden="false" customHeight="false" outlineLevel="0" collapsed="false">
      <c r="A55" s="18" t="s">
        <v>37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</sheetData>
  <mergeCells count="10">
    <mergeCell ref="A1:S1"/>
    <mergeCell ref="A2:S2"/>
    <mergeCell ref="A48:S48"/>
    <mergeCell ref="A49:S49"/>
    <mergeCell ref="A50:S50"/>
    <mergeCell ref="A51:S51"/>
    <mergeCell ref="A52:S52"/>
    <mergeCell ref="A53:S53"/>
    <mergeCell ref="A54:S54"/>
    <mergeCell ref="A55:S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24" hidden="false" customHeight="true" outlineLevel="0" collapsed="false">
      <c r="A1" s="1" t="s">
        <v>38</v>
      </c>
      <c r="B1" s="1"/>
      <c r="C1" s="1"/>
      <c r="D1" s="1"/>
      <c r="E1" s="1"/>
    </row>
    <row r="3" customFormat="false" ht="27.75" hidden="false" customHeight="true" outlineLevel="0" collapsed="false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</row>
    <row r="4" customFormat="false" ht="15" hidden="false" customHeight="false" outlineLevel="0" collapsed="false">
      <c r="A4" s="11" t="s">
        <v>44</v>
      </c>
      <c r="B4" s="19" t="n">
        <v>0.03</v>
      </c>
      <c r="C4" s="19" t="n">
        <v>0.01</v>
      </c>
      <c r="D4" s="19" t="n">
        <v>0.03</v>
      </c>
      <c r="E4" s="20" t="n">
        <f aca="false">1-(B4+C4+D4)</f>
        <v>0.93</v>
      </c>
    </row>
    <row r="5" customFormat="false" ht="15" hidden="false" customHeight="false" outlineLevel="0" collapsed="false">
      <c r="A5" s="11" t="s">
        <v>45</v>
      </c>
      <c r="B5" s="19" t="n">
        <v>0</v>
      </c>
      <c r="C5" s="19" t="n">
        <v>0</v>
      </c>
      <c r="D5" s="19" t="n">
        <v>0</v>
      </c>
      <c r="E5" s="20" t="n">
        <f aca="false">1-(B5+C5+D5)</f>
        <v>1</v>
      </c>
    </row>
    <row r="6" customFormat="false" ht="15" hidden="false" customHeight="false" outlineLevel="0" collapsed="false">
      <c r="A6" s="11" t="s">
        <v>46</v>
      </c>
      <c r="B6" s="19" t="n">
        <v>0.06</v>
      </c>
      <c r="C6" s="19" t="n">
        <v>0.08</v>
      </c>
      <c r="D6" s="19" t="n">
        <v>0</v>
      </c>
      <c r="E6" s="20" t="n">
        <f aca="false">1-(B6+C6+D6)</f>
        <v>0.86</v>
      </c>
    </row>
    <row r="7" customFormat="false" ht="15" hidden="false" customHeight="false" outlineLevel="0" collapsed="false">
      <c r="A7" s="11" t="s">
        <v>47</v>
      </c>
      <c r="B7" s="19" t="n">
        <v>0.02</v>
      </c>
      <c r="C7" s="19" t="n">
        <v>0.05</v>
      </c>
      <c r="D7" s="19" t="n">
        <v>0</v>
      </c>
      <c r="E7" s="20" t="n">
        <f aca="false">1-(B7+C7+D7)</f>
        <v>0.93</v>
      </c>
    </row>
    <row r="8" customFormat="false" ht="15" hidden="false" customHeight="false" outlineLevel="0" collapsed="false">
      <c r="A8" s="11" t="s">
        <v>23</v>
      </c>
      <c r="B8" s="19" t="n">
        <v>0.11</v>
      </c>
      <c r="C8" s="19" t="n">
        <v>0.04</v>
      </c>
      <c r="D8" s="19" t="n">
        <v>0.01</v>
      </c>
      <c r="E8" s="20" t="n">
        <f aca="false">1-(B8+C8+D8)</f>
        <v>0.84</v>
      </c>
    </row>
    <row r="9" customFormat="false" ht="15" hidden="false" customHeight="false" outlineLevel="0" collapsed="false">
      <c r="A9" s="11" t="s">
        <v>48</v>
      </c>
      <c r="B9" s="19" t="n">
        <v>0.01</v>
      </c>
      <c r="C9" s="19" t="n">
        <v>0.05</v>
      </c>
      <c r="D9" s="19" t="n">
        <v>0</v>
      </c>
      <c r="E9" s="20" t="n">
        <f aca="false">1-(B9+C9+D9)</f>
        <v>0.94</v>
      </c>
    </row>
    <row r="10" customFormat="false" ht="15" hidden="false" customHeight="false" outlineLevel="0" collapsed="false">
      <c r="A10" s="11" t="s">
        <v>49</v>
      </c>
      <c r="B10" s="19" t="n">
        <v>0.02</v>
      </c>
      <c r="C10" s="19" t="n">
        <v>0.03</v>
      </c>
      <c r="D10" s="19" t="n">
        <v>0.01</v>
      </c>
      <c r="E10" s="20" t="n">
        <f aca="false">1-(B10+C10+D10)</f>
        <v>0.94</v>
      </c>
    </row>
    <row r="11" customFormat="false" ht="15" hidden="false" customHeight="false" outlineLevel="0" collapsed="false">
      <c r="A11" s="11" t="s">
        <v>50</v>
      </c>
      <c r="B11" s="19" t="n">
        <v>0.09</v>
      </c>
      <c r="C11" s="19" t="n">
        <v>0.06</v>
      </c>
      <c r="D11" s="19" t="n">
        <v>0.01</v>
      </c>
      <c r="E11" s="20" t="n">
        <f aca="false">1-(B11+C11+D11)</f>
        <v>0.84</v>
      </c>
    </row>
    <row r="12" customFormat="false" ht="15" hidden="false" customHeight="false" outlineLevel="0" collapsed="false">
      <c r="A12" s="11" t="s">
        <v>51</v>
      </c>
      <c r="B12" s="19" t="n">
        <v>0.3</v>
      </c>
      <c r="C12" s="19" t="n">
        <v>0.2</v>
      </c>
      <c r="D12" s="19" t="n">
        <v>0</v>
      </c>
      <c r="E12" s="20" t="n">
        <f aca="false">1-(B12+C12+D12)</f>
        <v>0.5</v>
      </c>
    </row>
    <row r="13" customFormat="false" ht="15" hidden="false" customHeight="false" outlineLevel="0" collapsed="false">
      <c r="A13" s="11" t="s">
        <v>52</v>
      </c>
      <c r="B13" s="19" t="n">
        <v>0.05</v>
      </c>
      <c r="C13" s="19" t="n">
        <v>0.1</v>
      </c>
      <c r="D13" s="19" t="n">
        <v>0</v>
      </c>
      <c r="E13" s="20" t="n">
        <f aca="false">1-(B13+C13+D13)</f>
        <v>0.85</v>
      </c>
    </row>
    <row r="14" customFormat="false" ht="15" hidden="false" customHeight="false" outlineLevel="0" collapsed="false">
      <c r="A14" s="11" t="s">
        <v>53</v>
      </c>
      <c r="B14" s="19" t="n">
        <v>0.01</v>
      </c>
      <c r="C14" s="19" t="n">
        <v>0.05</v>
      </c>
      <c r="D14" s="19" t="n">
        <v>0</v>
      </c>
      <c r="E14" s="20" t="n">
        <f aca="false">1-(B14+C14+D14)</f>
        <v>0.94</v>
      </c>
    </row>
    <row r="15" customFormat="false" ht="15" hidden="false" customHeight="false" outlineLevel="0" collapsed="false">
      <c r="A15" s="11" t="s">
        <v>54</v>
      </c>
      <c r="B15" s="19" t="n">
        <v>0.03</v>
      </c>
      <c r="C15" s="19" t="n">
        <v>0.03</v>
      </c>
      <c r="D15" s="19" t="n">
        <v>0</v>
      </c>
      <c r="E15" s="20" t="n">
        <f aca="false">1-(B15+C15+D15)</f>
        <v>0.94</v>
      </c>
    </row>
    <row r="16" customFormat="false" ht="15" hidden="false" customHeight="false" outlineLevel="0" collapsed="false">
      <c r="A16" s="11" t="s">
        <v>55</v>
      </c>
      <c r="B16" s="19" t="n">
        <v>0</v>
      </c>
      <c r="C16" s="19" t="n">
        <v>0.3</v>
      </c>
      <c r="D16" s="19" t="n">
        <v>0</v>
      </c>
      <c r="E16" s="20" t="n">
        <f aca="false">1-(B16+C16+D16)</f>
        <v>0.7</v>
      </c>
    </row>
    <row r="19" customFormat="false" ht="15" hidden="false" customHeight="false" outlineLevel="0" collapsed="false">
      <c r="A19" s="21" t="s">
        <v>56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2026-08-03T20:59:53Z</dcterms:created>
  <dc:creator>openpyxl</dc:creator>
  <dc:description/>
  <dc:language>en-US</dc:language>
  <cp:lastModifiedBy/>
  <dcterms:modified xsi:type="dcterms:W3CDTF">2026-08-03T20:59:53Z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